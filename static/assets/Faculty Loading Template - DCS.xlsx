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FH\jeremy\CvSU_Scheduling_System-Version-2 - antigravity_2\static\assets\"/>
    </mc:Choice>
  </mc:AlternateContent>
  <xr:revisionPtr revIDLastSave="0" documentId="13_ncr:1_{748CF03E-8BB7-4B08-9107-B6EE6B5A205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ACULTY LOAD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1" i="1" l="1"/>
  <c r="I111" i="1"/>
  <c r="K110" i="1"/>
  <c r="G110" i="1"/>
  <c r="F110" i="1"/>
  <c r="G109" i="1"/>
  <c r="F109" i="1"/>
  <c r="K109" i="1" s="1"/>
  <c r="G108" i="1"/>
  <c r="F108" i="1"/>
  <c r="K108" i="1" s="1"/>
  <c r="G107" i="1"/>
  <c r="F107" i="1"/>
  <c r="K107" i="1" s="1"/>
  <c r="G106" i="1"/>
  <c r="F106" i="1"/>
  <c r="K106" i="1" s="1"/>
  <c r="K105" i="1"/>
  <c r="J105" i="1"/>
  <c r="I105" i="1"/>
  <c r="G104" i="1"/>
  <c r="F104" i="1"/>
  <c r="K99" i="1"/>
  <c r="J99" i="1"/>
  <c r="I99" i="1"/>
  <c r="G98" i="1"/>
  <c r="F98" i="1"/>
  <c r="K93" i="1"/>
  <c r="J93" i="1"/>
  <c r="I93" i="1"/>
  <c r="G92" i="1"/>
  <c r="F92" i="1"/>
  <c r="K87" i="1"/>
  <c r="J87" i="1"/>
  <c r="I87" i="1"/>
  <c r="G86" i="1"/>
  <c r="F86" i="1"/>
  <c r="K81" i="1"/>
  <c r="J81" i="1"/>
  <c r="I81" i="1"/>
  <c r="G80" i="1"/>
  <c r="F80" i="1"/>
  <c r="K75" i="1"/>
  <c r="J75" i="1"/>
  <c r="I75" i="1"/>
  <c r="G74" i="1"/>
  <c r="F74" i="1"/>
  <c r="K69" i="1"/>
  <c r="J69" i="1"/>
  <c r="I69" i="1"/>
  <c r="G68" i="1"/>
  <c r="F68" i="1"/>
  <c r="K63" i="1"/>
  <c r="J63" i="1"/>
  <c r="I63" i="1"/>
  <c r="G62" i="1"/>
  <c r="F62" i="1"/>
  <c r="K57" i="1"/>
  <c r="J57" i="1"/>
  <c r="I57" i="1"/>
  <c r="G56" i="1"/>
  <c r="F56" i="1"/>
  <c r="K51" i="1"/>
  <c r="J51" i="1"/>
  <c r="I51" i="1"/>
  <c r="G50" i="1"/>
  <c r="F50" i="1"/>
  <c r="K45" i="1"/>
  <c r="J45" i="1"/>
  <c r="I45" i="1"/>
  <c r="G44" i="1"/>
  <c r="F44" i="1"/>
  <c r="K39" i="1"/>
  <c r="J39" i="1"/>
  <c r="I39" i="1"/>
  <c r="G38" i="1"/>
  <c r="F38" i="1"/>
  <c r="K33" i="1"/>
  <c r="J33" i="1"/>
  <c r="I33" i="1"/>
  <c r="G32" i="1"/>
  <c r="F32" i="1"/>
  <c r="K27" i="1"/>
  <c r="J27" i="1"/>
  <c r="I27" i="1"/>
  <c r="G26" i="1"/>
  <c r="F26" i="1"/>
  <c r="K21" i="1"/>
  <c r="J21" i="1"/>
  <c r="I21" i="1"/>
  <c r="G20" i="1"/>
  <c r="F20" i="1"/>
  <c r="K111" i="1" l="1"/>
</calcChain>
</file>

<file path=xl/sharedStrings.xml><?xml version="1.0" encoding="utf-8"?>
<sst xmlns="http://schemas.openxmlformats.org/spreadsheetml/2006/main" count="249" uniqueCount="165">
  <si>
    <t>Republic of the Philippines</t>
  </si>
  <si>
    <t>CAVITE STATE UNIVERSITY</t>
  </si>
  <si>
    <t>CCAT Campus</t>
  </si>
  <si>
    <t>Rosario, Cavite</t>
  </si>
  <si>
    <t> (046) 437-9505 /  (046) 437-6659</t>
  </si>
  <si>
    <t>cvsurosario@cvsu.edu.ph</t>
  </si>
  <si>
    <t xml:space="preserve">www.cvsu-rosario.edu.ph </t>
  </si>
  <si>
    <t>1ST SEMESTER 2025-2026 FACULTY LOADING</t>
  </si>
  <si>
    <t>NAME OF FACULTY</t>
  </si>
  <si>
    <t>COURSE CODE</t>
  </si>
  <si>
    <t>COURSE DESCRIPTION</t>
  </si>
  <si>
    <t>Credit Units</t>
  </si>
  <si>
    <t>Contact Hours</t>
  </si>
  <si>
    <t>Sections</t>
  </si>
  <si>
    <t>No.</t>
  </si>
  <si>
    <t>TOTAL CONTACT HOURS</t>
  </si>
  <si>
    <t>Lec</t>
  </si>
  <si>
    <t>Lab</t>
  </si>
  <si>
    <t>of</t>
  </si>
  <si>
    <t>Prep.</t>
  </si>
  <si>
    <t>Sec.</t>
  </si>
  <si>
    <t>ALIYAH REYES</t>
  </si>
  <si>
    <t>COSC 21</t>
  </si>
  <si>
    <t>CS Fundamentals</t>
  </si>
  <si>
    <t>BSIT 101-B</t>
  </si>
  <si>
    <t>BTCH 1</t>
  </si>
  <si>
    <t>Introduction to Biotechnology</t>
  </si>
  <si>
    <t>BSIT 201-D</t>
  </si>
  <si>
    <t>COSC 85</t>
  </si>
  <si>
    <t>Numerical Analysis</t>
  </si>
  <si>
    <t>BSIT 401-C</t>
  </si>
  <si>
    <t>PHED 1</t>
  </si>
  <si>
    <t>Physical Fitness &amp; Aerobics</t>
  </si>
  <si>
    <t>TOTAL:</t>
  </si>
  <si>
    <t>MARCO GONZALES</t>
  </si>
  <si>
    <t>DCIT 99</t>
  </si>
  <si>
    <t>Inspection Trip and Seminar</t>
  </si>
  <si>
    <t>BSIT 401-A</t>
  </si>
  <si>
    <t>PHED 4</t>
  </si>
  <si>
    <t>Team Sports</t>
  </si>
  <si>
    <t>BSIT 201-A</t>
  </si>
  <si>
    <t>COSC 80</t>
  </si>
  <si>
    <t>Modeling and Simulation</t>
  </si>
  <si>
    <t>BSCoS 301-A</t>
  </si>
  <si>
    <t>DCIT 60</t>
  </si>
  <si>
    <t>Software Engineering</t>
  </si>
  <si>
    <t>SOFIA CARPIO</t>
  </si>
  <si>
    <t>MATH 10</t>
  </si>
  <si>
    <t>Differential Calculus</t>
  </si>
  <si>
    <t>COSC 200A</t>
  </si>
  <si>
    <t>Undergraduate Thesis</t>
  </si>
  <si>
    <t>BSIT 301-D</t>
  </si>
  <si>
    <t>HUMN 6</t>
  </si>
  <si>
    <t>Social Philosophy</t>
  </si>
  <si>
    <t>SOSC 3</t>
  </si>
  <si>
    <t>Phil. History, Geography and Institution</t>
  </si>
  <si>
    <t>BSCoS 201-C</t>
  </si>
  <si>
    <t>LEO FERNANDEZ</t>
  </si>
  <si>
    <t>DCIT 55</t>
  </si>
  <si>
    <t>Operating System</t>
  </si>
  <si>
    <t>BSCoS 301-B</t>
  </si>
  <si>
    <t>ACTG 1</t>
  </si>
  <si>
    <t>Fundamentals of Accounting</t>
  </si>
  <si>
    <t>SOSC 2</t>
  </si>
  <si>
    <t>General Psychology</t>
  </si>
  <si>
    <t>BSIT 101-D</t>
  </si>
  <si>
    <t>ITEC 70</t>
  </si>
  <si>
    <t>Computer Graphics</t>
  </si>
  <si>
    <t>BSCoS 301-D</t>
  </si>
  <si>
    <t>CLARA SANTOS</t>
  </si>
  <si>
    <t>ECON 3</t>
  </si>
  <si>
    <t>General Economics with TAR</t>
  </si>
  <si>
    <t>STAT 1</t>
  </si>
  <si>
    <t>Elementary Statistics</t>
  </si>
  <si>
    <t>MATH 4</t>
  </si>
  <si>
    <t>Trigonometry</t>
  </si>
  <si>
    <t>BSIT 101-C</t>
  </si>
  <si>
    <t>ITEC 85</t>
  </si>
  <si>
    <t>Quality Consciousness Habits and Processes</t>
  </si>
  <si>
    <t>BSIT 401-B</t>
  </si>
  <si>
    <t>BENIGNO AQUINO JR.</t>
  </si>
  <si>
    <t>COSC 200C</t>
  </si>
  <si>
    <t>BSIT 401-D</t>
  </si>
  <si>
    <t>COSC 55</t>
  </si>
  <si>
    <t>Automata and Language Theory</t>
  </si>
  <si>
    <t>PHED 3</t>
  </si>
  <si>
    <t>Individual/Dual Sports</t>
  </si>
  <si>
    <t>BSIT 201-B</t>
  </si>
  <si>
    <t>ITEC 75</t>
  </si>
  <si>
    <t>Technopreneur</t>
  </si>
  <si>
    <t>BSCoS 401-B</t>
  </si>
  <si>
    <t>CORAZON AQUINO</t>
  </si>
  <si>
    <t>COSC 121</t>
  </si>
  <si>
    <t>Data Communication</t>
  </si>
  <si>
    <t>BSCoS 101-B</t>
  </si>
  <si>
    <t>ITEC 65</t>
  </si>
  <si>
    <t>Advanced Database Management System</t>
  </si>
  <si>
    <t>BSIT 301-A</t>
  </si>
  <si>
    <t>COSC 200B</t>
  </si>
  <si>
    <t>FIDEL RAMOS</t>
  </si>
  <si>
    <t>MATH 11</t>
  </si>
  <si>
    <t>Integral Calculus</t>
  </si>
  <si>
    <t>BSCoS 201-B</t>
  </si>
  <si>
    <t>NSTP 2</t>
  </si>
  <si>
    <t>National Service Training Program 2</t>
  </si>
  <si>
    <t>DCEE 28</t>
  </si>
  <si>
    <t>Methods of Research</t>
  </si>
  <si>
    <t>BSCoS 201-D</t>
  </si>
  <si>
    <t>JOSEPH ESTRADA</t>
  </si>
  <si>
    <t>ENGL 7</t>
  </si>
  <si>
    <t>Scientific Reporting and Thesis Writing</t>
  </si>
  <si>
    <t>COSC 131</t>
  </si>
  <si>
    <t>Embedded System</t>
  </si>
  <si>
    <t>BSCoS 401-D</t>
  </si>
  <si>
    <t>GLORIA ARROYO</t>
  </si>
  <si>
    <t>ITEC 80</t>
  </si>
  <si>
    <t>Network Management</t>
  </si>
  <si>
    <t>BSCoS 401-A</t>
  </si>
  <si>
    <t>BSCoS 101-D</t>
  </si>
  <si>
    <t>DCIT 65</t>
  </si>
  <si>
    <t>Web Development</t>
  </si>
  <si>
    <t>NOYNOY AQUINO</t>
  </si>
  <si>
    <t>DCIT 24</t>
  </si>
  <si>
    <t>Computer Organization and Assembly Language</t>
  </si>
  <si>
    <t>MATH 2a</t>
  </si>
  <si>
    <t>College Algebra</t>
  </si>
  <si>
    <t>BSIT 101-A</t>
  </si>
  <si>
    <t>COSC 111</t>
  </si>
  <si>
    <t>Advanced Programming</t>
  </si>
  <si>
    <t>RODRIGO DUTERTE</t>
  </si>
  <si>
    <t>ITEC 60</t>
  </si>
  <si>
    <t>Multimedia</t>
  </si>
  <si>
    <t>COSC 60</t>
  </si>
  <si>
    <t>Data Structure</t>
  </si>
  <si>
    <t>BONGBONG MARCOS</t>
  </si>
  <si>
    <t>SOSC 6</t>
  </si>
  <si>
    <t>Rizal's Life, Works and Writings</t>
  </si>
  <si>
    <t>STAT I</t>
  </si>
  <si>
    <t>SOSC 5</t>
  </si>
  <si>
    <t>Phil. Gov't. Politics and the Constitution</t>
  </si>
  <si>
    <t>BSIT 301-B</t>
  </si>
  <si>
    <t>BSCoS 101-C</t>
  </si>
  <si>
    <t>LENI ROBREDO</t>
  </si>
  <si>
    <t>BSCoS 301-C</t>
  </si>
  <si>
    <t>ITEC 200</t>
  </si>
  <si>
    <t>Undergraduate Thesis (Part</t>
  </si>
  <si>
    <t>FILI 2</t>
  </si>
  <si>
    <t>Pagbasa at Pagsulat Tungo sa Pananaliksik</t>
  </si>
  <si>
    <t>ISKO MORENO</t>
  </si>
  <si>
    <t>COSC 50</t>
  </si>
  <si>
    <t>Design and Analysis of Algorithm</t>
  </si>
  <si>
    <t>BSIT 201-C</t>
  </si>
  <si>
    <t>SURNAME, FIRST NAME M.I.</t>
  </si>
  <si>
    <t>Prepared by:</t>
  </si>
  <si>
    <t>Noted by:</t>
  </si>
  <si>
    <t>Recommending Approval:</t>
  </si>
  <si>
    <t>Approved:</t>
  </si>
  <si>
    <t xml:space="preserve">NAME </t>
  </si>
  <si>
    <t>ARIEL G. SANTOS, EdD</t>
  </si>
  <si>
    <t>LAURO B. PASCUA, EdD</t>
  </si>
  <si>
    <t>Member, Schedule Committee</t>
  </si>
  <si>
    <t>Chairperson, DCS</t>
  </si>
  <si>
    <t xml:space="preserve"> Director, Instruction</t>
  </si>
  <si>
    <t>Campus Administrator</t>
  </si>
  <si>
    <t>DEPARTMENT OF COMPUTER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</si>
</sst>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entury Gothic"/>
    </font>
    <font>
      <b/>
      <sz val="11"/>
      <color theme="1"/>
      <name val="Bookman Old Style"/>
    </font>
    <font>
      <b/>
      <sz val="11"/>
      <color theme="1"/>
      <name val="Arial Narrow"/>
    </font>
    <font>
      <sz val="11"/>
      <color theme="1"/>
      <name val="Calibri"/>
    </font>
    <font>
      <sz val="11"/>
      <color theme="1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3" borderId="3" xfId="0" applyFont="1" applyFill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5" fillId="2" borderId="3" xfId="0" applyFont="1" applyFill="1" applyBorder="1" applyAlignment="1">
      <alignment vertical="center"/>
    </xf>
    <xf numFmtId="0" fontId="5" fillId="0" borderId="6" xfId="0" applyFont="1" applyBorder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5" fillId="0" borderId="3" xfId="0" applyFont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161925</xdr:colOff>
      <xdr:row>0</xdr:row>
      <xdr:rowOff>95250</xdr:rowOff>
    </xdr:from>
    <xdr:ext cx="1123950" cy="11239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Z983"/>
  <sheetViews>
    <sheetView tabSelected="1" workbookViewId="0">
      <selection activeCell="A12" sqref="A12:K12"/>
    </sheetView>
  </sheetViews>
  <sheetFormatPr defaultColWidth="14.42578125" defaultRowHeight="15" customHeight="1" x14ac:dyDescent="0.25"/>
  <cols>
    <col min="1" max="1" width="24.7109375" customWidth="1"/>
    <col min="2" max="2" width="10.85546875" customWidth="1"/>
    <col min="3" max="3" width="49.5703125" customWidth="1"/>
    <col min="4" max="4" width="6.5703125" customWidth="1"/>
    <col min="5" max="5" width="6.28515625" customWidth="1"/>
    <col min="6" max="6" width="6.140625" customWidth="1"/>
    <col min="7" max="7" width="7" customWidth="1"/>
    <col min="8" max="8" width="24.42578125" customWidth="1"/>
    <col min="9" max="10" width="6.7109375" customWidth="1"/>
    <col min="11" max="11" width="10.7109375" customWidth="1"/>
    <col min="12" max="26" width="9.140625" customWidth="1"/>
  </cols>
  <sheetData>
    <row r="1" spans="1:26" ht="13.5" customHeight="1" x14ac:dyDescent="0.25">
      <c r="A1" s="25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26" ht="13.5" customHeight="1" x14ac:dyDescent="0.25">
      <c r="A2" s="29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26" ht="13.5" customHeight="1" x14ac:dyDescent="0.25">
      <c r="A3" s="25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26" ht="13.5" customHeight="1" x14ac:dyDescent="0.25">
      <c r="A4" s="25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26" ht="13.5" customHeight="1" x14ac:dyDescent="0.25">
      <c r="A5" s="25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</row>
    <row r="6" spans="1:26" ht="13.5" customHeight="1" x14ac:dyDescent="0.25">
      <c r="A6" s="25" t="s">
        <v>5</v>
      </c>
      <c r="B6" s="22"/>
      <c r="C6" s="22"/>
      <c r="D6" s="22"/>
      <c r="E6" s="22"/>
      <c r="F6" s="22"/>
      <c r="G6" s="22"/>
      <c r="H6" s="22"/>
      <c r="I6" s="22"/>
      <c r="J6" s="22"/>
      <c r="K6" s="22"/>
    </row>
    <row r="7" spans="1:26" ht="15" customHeight="1" x14ac:dyDescent="0.25">
      <c r="A7" s="25" t="s">
        <v>6</v>
      </c>
      <c r="B7" s="22"/>
      <c r="C7" s="22"/>
      <c r="D7" s="22"/>
      <c r="E7" s="22"/>
      <c r="F7" s="22"/>
      <c r="G7" s="22"/>
      <c r="H7" s="22"/>
      <c r="I7" s="22"/>
      <c r="J7" s="22"/>
      <c r="K7" s="22"/>
    </row>
    <row r="8" spans="1:26" ht="10.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26" ht="13.5" customHeight="1" x14ac:dyDescent="0.25">
      <c r="A9" s="21" t="s">
        <v>7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3.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5" customHeight="1" x14ac:dyDescent="0.25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3.5" customHeight="1" x14ac:dyDescent="0.25">
      <c r="A12" s="27" t="s">
        <v>164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24" t="s">
        <v>8</v>
      </c>
      <c r="B13" s="23" t="s">
        <v>9</v>
      </c>
      <c r="C13" s="24" t="s">
        <v>10</v>
      </c>
      <c r="D13" s="24" t="s">
        <v>11</v>
      </c>
      <c r="E13" s="26"/>
      <c r="F13" s="24" t="s">
        <v>12</v>
      </c>
      <c r="G13" s="26"/>
      <c r="H13" s="24" t="s">
        <v>13</v>
      </c>
      <c r="I13" s="4" t="s">
        <v>14</v>
      </c>
      <c r="J13" s="4" t="s">
        <v>14</v>
      </c>
      <c r="K13" s="23" t="s">
        <v>15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19"/>
      <c r="B14" s="19"/>
      <c r="C14" s="19"/>
      <c r="D14" s="4" t="s">
        <v>16</v>
      </c>
      <c r="E14" s="4" t="s">
        <v>17</v>
      </c>
      <c r="F14" s="4" t="s">
        <v>16</v>
      </c>
      <c r="G14" s="4" t="s">
        <v>17</v>
      </c>
      <c r="H14" s="19"/>
      <c r="I14" s="4" t="s">
        <v>18</v>
      </c>
      <c r="J14" s="4" t="s">
        <v>18</v>
      </c>
      <c r="K14" s="19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20"/>
      <c r="B15" s="20"/>
      <c r="C15" s="20"/>
      <c r="D15" s="4"/>
      <c r="E15" s="4"/>
      <c r="F15" s="4"/>
      <c r="G15" s="4"/>
      <c r="H15" s="20"/>
      <c r="I15" s="4" t="s">
        <v>19</v>
      </c>
      <c r="J15" s="4" t="s">
        <v>20</v>
      </c>
      <c r="K15" s="20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5" x14ac:dyDescent="0.25">
      <c r="A16" s="18" t="s">
        <v>21</v>
      </c>
      <c r="B16" s="5" t="s">
        <v>22</v>
      </c>
      <c r="C16" s="6" t="s">
        <v>23</v>
      </c>
      <c r="D16" s="7">
        <v>2</v>
      </c>
      <c r="E16" s="7">
        <v>1</v>
      </c>
      <c r="F16" s="7">
        <v>2</v>
      </c>
      <c r="G16" s="7">
        <v>3</v>
      </c>
      <c r="H16" s="8" t="s">
        <v>24</v>
      </c>
      <c r="I16" s="7"/>
      <c r="J16" s="7"/>
      <c r="K16" s="7">
        <v>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5" x14ac:dyDescent="0.25">
      <c r="A17" s="19"/>
      <c r="B17" s="5" t="s">
        <v>25</v>
      </c>
      <c r="C17" s="6" t="s">
        <v>26</v>
      </c>
      <c r="D17" s="7">
        <v>3</v>
      </c>
      <c r="E17" s="7">
        <v>0</v>
      </c>
      <c r="F17" s="7">
        <v>2</v>
      </c>
      <c r="G17" s="7">
        <v>0</v>
      </c>
      <c r="H17" s="8" t="s">
        <v>27</v>
      </c>
      <c r="I17" s="7"/>
      <c r="J17" s="7"/>
      <c r="K17" s="7">
        <v>2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5" x14ac:dyDescent="0.25">
      <c r="A18" s="19"/>
      <c r="B18" s="5" t="s">
        <v>28</v>
      </c>
      <c r="C18" s="6" t="s">
        <v>29</v>
      </c>
      <c r="D18" s="7">
        <v>2</v>
      </c>
      <c r="E18" s="7">
        <v>1</v>
      </c>
      <c r="F18" s="7">
        <v>2</v>
      </c>
      <c r="G18" s="7">
        <v>3</v>
      </c>
      <c r="H18" s="8" t="s">
        <v>30</v>
      </c>
      <c r="I18" s="7"/>
      <c r="J18" s="7"/>
      <c r="K18" s="7">
        <v>5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5" x14ac:dyDescent="0.25">
      <c r="A19" s="19"/>
      <c r="B19" s="9" t="s">
        <v>31</v>
      </c>
      <c r="C19" s="10" t="s">
        <v>32</v>
      </c>
      <c r="D19" s="7">
        <v>2</v>
      </c>
      <c r="E19" s="7">
        <v>0</v>
      </c>
      <c r="F19" s="7">
        <v>2</v>
      </c>
      <c r="G19" s="7">
        <v>0</v>
      </c>
      <c r="H19" s="8" t="s">
        <v>24</v>
      </c>
      <c r="I19" s="7"/>
      <c r="J19" s="7"/>
      <c r="K19" s="7">
        <v>2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5" x14ac:dyDescent="0.25">
      <c r="A20" s="19"/>
      <c r="B20" s="9"/>
      <c r="C20" s="10"/>
      <c r="D20" s="7"/>
      <c r="E20" s="7"/>
      <c r="F20" s="7">
        <f>D20</f>
        <v>0</v>
      </c>
      <c r="G20" s="7">
        <f>E20*3</f>
        <v>0</v>
      </c>
      <c r="H20" s="8"/>
      <c r="I20" s="7"/>
      <c r="J20" s="7" t="s">
        <v>33</v>
      </c>
      <c r="K20" s="7">
        <v>14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6.5" x14ac:dyDescent="0.25">
      <c r="A21" s="20"/>
      <c r="B21" s="11"/>
      <c r="C21" s="11"/>
      <c r="D21" s="4"/>
      <c r="E21" s="4"/>
      <c r="F21" s="4"/>
      <c r="G21" s="4"/>
      <c r="H21" s="4"/>
      <c r="I21" s="4">
        <f>SUM(I16:I20)</f>
        <v>0</v>
      </c>
      <c r="J21" s="4">
        <f>SUM(J16:J20)</f>
        <v>0</v>
      </c>
      <c r="K21" s="4">
        <f>SUM(K16:K20)</f>
        <v>28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6.5" x14ac:dyDescent="0.25">
      <c r="A22" s="18" t="s">
        <v>34</v>
      </c>
      <c r="B22" s="5" t="s">
        <v>35</v>
      </c>
      <c r="C22" s="6" t="s">
        <v>36</v>
      </c>
      <c r="D22" s="7">
        <v>3</v>
      </c>
      <c r="E22" s="7">
        <v>4</v>
      </c>
      <c r="F22" s="7">
        <v>2</v>
      </c>
      <c r="G22" s="7">
        <v>3</v>
      </c>
      <c r="H22" s="8" t="s">
        <v>37</v>
      </c>
      <c r="I22" s="7"/>
      <c r="J22" s="7"/>
      <c r="K22" s="7">
        <v>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6.5" x14ac:dyDescent="0.25">
      <c r="A23" s="19"/>
      <c r="B23" s="5" t="s">
        <v>38</v>
      </c>
      <c r="C23" s="6" t="s">
        <v>39</v>
      </c>
      <c r="D23" s="7">
        <v>2</v>
      </c>
      <c r="E23" s="7">
        <v>0</v>
      </c>
      <c r="F23" s="7">
        <v>2</v>
      </c>
      <c r="G23" s="7">
        <v>0</v>
      </c>
      <c r="H23" s="8" t="s">
        <v>40</v>
      </c>
      <c r="I23" s="7"/>
      <c r="J23" s="7"/>
      <c r="K23" s="7">
        <v>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6.5" x14ac:dyDescent="0.25">
      <c r="A24" s="19"/>
      <c r="B24" s="5" t="s">
        <v>41</v>
      </c>
      <c r="C24" s="6" t="s">
        <v>42</v>
      </c>
      <c r="D24" s="7">
        <v>3</v>
      </c>
      <c r="E24" s="7">
        <v>0</v>
      </c>
      <c r="F24" s="7">
        <v>2</v>
      </c>
      <c r="G24" s="7">
        <v>0</v>
      </c>
      <c r="H24" s="8" t="s">
        <v>43</v>
      </c>
      <c r="I24" s="7"/>
      <c r="J24" s="7"/>
      <c r="K24" s="7">
        <v>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6.5" x14ac:dyDescent="0.25">
      <c r="A25" s="19"/>
      <c r="B25" s="9" t="s">
        <v>44</v>
      </c>
      <c r="C25" s="10" t="s">
        <v>45</v>
      </c>
      <c r="D25" s="7">
        <v>2</v>
      </c>
      <c r="E25" s="7">
        <v>1</v>
      </c>
      <c r="F25" s="7">
        <v>2</v>
      </c>
      <c r="G25" s="7">
        <v>3</v>
      </c>
      <c r="H25" s="8" t="s">
        <v>43</v>
      </c>
      <c r="I25" s="7"/>
      <c r="J25" s="7"/>
      <c r="K25" s="7">
        <v>5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6.5" x14ac:dyDescent="0.25">
      <c r="A26" s="19"/>
      <c r="B26" s="9"/>
      <c r="C26" s="10"/>
      <c r="D26" s="7"/>
      <c r="E26" s="7"/>
      <c r="F26" s="7">
        <f>D26</f>
        <v>0</v>
      </c>
      <c r="G26" s="7">
        <f>E26*3</f>
        <v>0</v>
      </c>
      <c r="H26" s="8"/>
      <c r="I26" s="7"/>
      <c r="J26" s="7" t="s">
        <v>33</v>
      </c>
      <c r="K26" s="7">
        <v>14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6.5" x14ac:dyDescent="0.25">
      <c r="A27" s="20"/>
      <c r="B27" s="11"/>
      <c r="C27" s="11"/>
      <c r="D27" s="4"/>
      <c r="E27" s="4"/>
      <c r="F27" s="4"/>
      <c r="G27" s="4"/>
      <c r="H27" s="4"/>
      <c r="I27" s="4">
        <f>SUM(I22:I26)</f>
        <v>0</v>
      </c>
      <c r="J27" s="4">
        <f>SUM(J22:J26)</f>
        <v>0</v>
      </c>
      <c r="K27" s="4">
        <f>SUM(K22:K26)</f>
        <v>28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6.5" x14ac:dyDescent="0.25">
      <c r="A28" s="18" t="s">
        <v>46</v>
      </c>
      <c r="B28" s="5" t="s">
        <v>47</v>
      </c>
      <c r="C28" s="6" t="s">
        <v>48</v>
      </c>
      <c r="D28" s="7">
        <v>3</v>
      </c>
      <c r="E28" s="7">
        <v>0</v>
      </c>
      <c r="F28" s="7">
        <v>2</v>
      </c>
      <c r="G28" s="7">
        <v>0</v>
      </c>
      <c r="H28" s="8" t="s">
        <v>40</v>
      </c>
      <c r="I28" s="7"/>
      <c r="J28" s="7"/>
      <c r="K28" s="7">
        <v>2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6.5" x14ac:dyDescent="0.25">
      <c r="A29" s="19"/>
      <c r="B29" s="5" t="s">
        <v>49</v>
      </c>
      <c r="C29" s="6" t="s">
        <v>50</v>
      </c>
      <c r="D29" s="7">
        <v>1</v>
      </c>
      <c r="E29" s="7">
        <v>3</v>
      </c>
      <c r="F29" s="7">
        <v>2</v>
      </c>
      <c r="G29" s="7">
        <v>3</v>
      </c>
      <c r="H29" s="8" t="s">
        <v>51</v>
      </c>
      <c r="I29" s="7"/>
      <c r="J29" s="7"/>
      <c r="K29" s="7">
        <v>5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6.5" x14ac:dyDescent="0.25">
      <c r="A30" s="19"/>
      <c r="B30" s="5" t="s">
        <v>52</v>
      </c>
      <c r="C30" s="6" t="s">
        <v>53</v>
      </c>
      <c r="D30" s="7">
        <v>1</v>
      </c>
      <c r="E30" s="7">
        <v>3</v>
      </c>
      <c r="F30" s="7">
        <v>2</v>
      </c>
      <c r="G30" s="7">
        <v>3</v>
      </c>
      <c r="H30" s="8" t="s">
        <v>37</v>
      </c>
      <c r="I30" s="7"/>
      <c r="J30" s="7"/>
      <c r="K30" s="7">
        <v>5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6.5" x14ac:dyDescent="0.25">
      <c r="A31" s="19"/>
      <c r="B31" s="9" t="s">
        <v>54</v>
      </c>
      <c r="C31" s="10" t="s">
        <v>55</v>
      </c>
      <c r="D31" s="7">
        <v>3</v>
      </c>
      <c r="E31" s="7">
        <v>0</v>
      </c>
      <c r="F31" s="7">
        <v>2</v>
      </c>
      <c r="G31" s="7">
        <v>0</v>
      </c>
      <c r="H31" s="8" t="s">
        <v>56</v>
      </c>
      <c r="I31" s="7"/>
      <c r="J31" s="7"/>
      <c r="K31" s="7">
        <v>2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" customHeight="1" x14ac:dyDescent="0.25">
      <c r="A32" s="19"/>
      <c r="B32" s="9"/>
      <c r="C32" s="10"/>
      <c r="D32" s="7"/>
      <c r="E32" s="7"/>
      <c r="F32" s="7">
        <f>D32</f>
        <v>0</v>
      </c>
      <c r="G32" s="7">
        <f>E32*3</f>
        <v>0</v>
      </c>
      <c r="H32" s="8"/>
      <c r="I32" s="7"/>
      <c r="J32" s="7" t="s">
        <v>33</v>
      </c>
      <c r="K32" s="7">
        <v>14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8" customHeight="1" x14ac:dyDescent="0.25">
      <c r="A33" s="20"/>
      <c r="B33" s="11"/>
      <c r="C33" s="11"/>
      <c r="D33" s="4"/>
      <c r="E33" s="4"/>
      <c r="F33" s="4"/>
      <c r="G33" s="4"/>
      <c r="H33" s="4"/>
      <c r="I33" s="4">
        <f>SUM(I28:I32)</f>
        <v>0</v>
      </c>
      <c r="J33" s="4">
        <f>SUM(J28:J32)</f>
        <v>0</v>
      </c>
      <c r="K33" s="4">
        <f>SUM(K28:K32)</f>
        <v>28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" customHeight="1" x14ac:dyDescent="0.25">
      <c r="A34" s="18" t="s">
        <v>57</v>
      </c>
      <c r="B34" s="5" t="s">
        <v>58</v>
      </c>
      <c r="C34" s="6" t="s">
        <v>59</v>
      </c>
      <c r="D34" s="7">
        <v>2</v>
      </c>
      <c r="E34" s="7">
        <v>1</v>
      </c>
      <c r="F34" s="7">
        <v>2</v>
      </c>
      <c r="G34" s="7">
        <v>3</v>
      </c>
      <c r="H34" s="8" t="s">
        <v>60</v>
      </c>
      <c r="I34" s="7"/>
      <c r="J34" s="7"/>
      <c r="K34" s="7">
        <v>5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" customHeight="1" x14ac:dyDescent="0.25">
      <c r="A35" s="19"/>
      <c r="B35" s="5" t="s">
        <v>61</v>
      </c>
      <c r="C35" s="6" t="s">
        <v>62</v>
      </c>
      <c r="D35" s="7">
        <v>3</v>
      </c>
      <c r="E35" s="7">
        <v>3</v>
      </c>
      <c r="F35" s="7">
        <v>2</v>
      </c>
      <c r="G35" s="7">
        <v>3</v>
      </c>
      <c r="H35" s="8" t="s">
        <v>43</v>
      </c>
      <c r="I35" s="7"/>
      <c r="J35" s="7"/>
      <c r="K35" s="7">
        <v>5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" customHeight="1" x14ac:dyDescent="0.25">
      <c r="A36" s="19"/>
      <c r="B36" s="5" t="s">
        <v>63</v>
      </c>
      <c r="C36" s="6" t="s">
        <v>64</v>
      </c>
      <c r="D36" s="7">
        <v>3</v>
      </c>
      <c r="E36" s="7">
        <v>0</v>
      </c>
      <c r="F36" s="7">
        <v>2</v>
      </c>
      <c r="G36" s="7">
        <v>0</v>
      </c>
      <c r="H36" s="8" t="s">
        <v>65</v>
      </c>
      <c r="I36" s="7"/>
      <c r="J36" s="7"/>
      <c r="K36" s="7">
        <v>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" customHeight="1" x14ac:dyDescent="0.25">
      <c r="A37" s="19"/>
      <c r="B37" s="9" t="s">
        <v>66</v>
      </c>
      <c r="C37" s="10" t="s">
        <v>67</v>
      </c>
      <c r="D37" s="7">
        <v>2</v>
      </c>
      <c r="E37" s="7">
        <v>1</v>
      </c>
      <c r="F37" s="7">
        <v>2</v>
      </c>
      <c r="G37" s="7">
        <v>3</v>
      </c>
      <c r="H37" s="8" t="s">
        <v>68</v>
      </c>
      <c r="I37" s="7"/>
      <c r="J37" s="7"/>
      <c r="K37" s="7">
        <v>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" customHeight="1" x14ac:dyDescent="0.25">
      <c r="A38" s="19"/>
      <c r="B38" s="9"/>
      <c r="C38" s="10"/>
      <c r="D38" s="7"/>
      <c r="E38" s="7"/>
      <c r="F38" s="7">
        <f>D38</f>
        <v>0</v>
      </c>
      <c r="G38" s="7">
        <f>E38*3</f>
        <v>0</v>
      </c>
      <c r="H38" s="8"/>
      <c r="I38" s="7"/>
      <c r="J38" s="7" t="s">
        <v>33</v>
      </c>
      <c r="K38" s="7">
        <v>17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8" customHeight="1" x14ac:dyDescent="0.25">
      <c r="A39" s="20"/>
      <c r="B39" s="11"/>
      <c r="C39" s="11"/>
      <c r="D39" s="4"/>
      <c r="E39" s="4"/>
      <c r="F39" s="4"/>
      <c r="G39" s="4"/>
      <c r="H39" s="4"/>
      <c r="I39" s="4">
        <f>SUM(I34:I38)</f>
        <v>0</v>
      </c>
      <c r="J39" s="4">
        <f>SUM(J34:J38)</f>
        <v>0</v>
      </c>
      <c r="K39" s="4">
        <f>SUM(K34:K38)</f>
        <v>34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8" customHeight="1" x14ac:dyDescent="0.25">
      <c r="A40" s="18" t="s">
        <v>69</v>
      </c>
      <c r="B40" s="5" t="s">
        <v>70</v>
      </c>
      <c r="C40" s="6" t="s">
        <v>71</v>
      </c>
      <c r="D40" s="7">
        <v>3</v>
      </c>
      <c r="E40" s="7">
        <v>3</v>
      </c>
      <c r="F40" s="7">
        <v>2</v>
      </c>
      <c r="G40" s="7">
        <v>3</v>
      </c>
      <c r="H40" s="8" t="s">
        <v>68</v>
      </c>
      <c r="I40" s="7"/>
      <c r="J40" s="7"/>
      <c r="K40" s="7">
        <v>5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19"/>
      <c r="B41" s="5" t="s">
        <v>72</v>
      </c>
      <c r="C41" s="6" t="s">
        <v>73</v>
      </c>
      <c r="D41" s="7">
        <v>2</v>
      </c>
      <c r="E41" s="7">
        <v>1</v>
      </c>
      <c r="F41" s="7">
        <v>2</v>
      </c>
      <c r="G41" s="7">
        <v>3</v>
      </c>
      <c r="H41" s="8" t="s">
        <v>68</v>
      </c>
      <c r="I41" s="7"/>
      <c r="J41" s="7"/>
      <c r="K41" s="7">
        <v>5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.5" customHeight="1" x14ac:dyDescent="0.25">
      <c r="A42" s="19"/>
      <c r="B42" s="5" t="s">
        <v>74</v>
      </c>
      <c r="C42" s="6" t="s">
        <v>75</v>
      </c>
      <c r="D42" s="7">
        <v>3</v>
      </c>
      <c r="E42" s="7">
        <v>0</v>
      </c>
      <c r="F42" s="7">
        <v>2</v>
      </c>
      <c r="G42" s="7">
        <v>0</v>
      </c>
      <c r="H42" s="8" t="s">
        <v>76</v>
      </c>
      <c r="I42" s="7"/>
      <c r="J42" s="7"/>
      <c r="K42" s="7">
        <v>2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" customHeight="1" x14ac:dyDescent="0.25">
      <c r="A43" s="19"/>
      <c r="B43" s="9" t="s">
        <v>77</v>
      </c>
      <c r="C43" s="10" t="s">
        <v>78</v>
      </c>
      <c r="D43" s="7">
        <v>3</v>
      </c>
      <c r="E43" s="7">
        <v>4</v>
      </c>
      <c r="F43" s="7">
        <v>2</v>
      </c>
      <c r="G43" s="7">
        <v>3</v>
      </c>
      <c r="H43" s="8" t="s">
        <v>79</v>
      </c>
      <c r="I43" s="7"/>
      <c r="J43" s="7"/>
      <c r="K43" s="7">
        <v>5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8" customHeight="1" x14ac:dyDescent="0.25">
      <c r="A44" s="19"/>
      <c r="B44" s="9"/>
      <c r="C44" s="10"/>
      <c r="D44" s="7"/>
      <c r="E44" s="7"/>
      <c r="F44" s="7">
        <f>D44</f>
        <v>0</v>
      </c>
      <c r="G44" s="7">
        <f>E44*3</f>
        <v>0</v>
      </c>
      <c r="H44" s="8"/>
      <c r="I44" s="7"/>
      <c r="J44" s="7" t="s">
        <v>33</v>
      </c>
      <c r="K44" s="7">
        <v>17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8" customHeight="1" x14ac:dyDescent="0.25">
      <c r="A45" s="20"/>
      <c r="B45" s="11"/>
      <c r="C45" s="11"/>
      <c r="D45" s="4"/>
      <c r="E45" s="4"/>
      <c r="F45" s="4"/>
      <c r="G45" s="4"/>
      <c r="H45" s="4"/>
      <c r="I45" s="4">
        <f>SUM(I40:I44)</f>
        <v>0</v>
      </c>
      <c r="J45" s="4">
        <f>SUM(J40:J44)</f>
        <v>0</v>
      </c>
      <c r="K45" s="4">
        <f>SUM(K40:K44)</f>
        <v>34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.5" customHeight="1" x14ac:dyDescent="0.25">
      <c r="A46" s="18" t="s">
        <v>80</v>
      </c>
      <c r="B46" s="5" t="s">
        <v>81</v>
      </c>
      <c r="C46" s="6" t="s">
        <v>50</v>
      </c>
      <c r="D46" s="7">
        <v>3</v>
      </c>
      <c r="E46" s="7">
        <v>0</v>
      </c>
      <c r="F46" s="7">
        <v>2</v>
      </c>
      <c r="G46" s="7">
        <v>0</v>
      </c>
      <c r="H46" s="8" t="s">
        <v>82</v>
      </c>
      <c r="I46" s="7"/>
      <c r="J46" s="7"/>
      <c r="K46" s="7">
        <v>2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5" customHeight="1" x14ac:dyDescent="0.25">
      <c r="A47" s="19"/>
      <c r="B47" s="5" t="s">
        <v>83</v>
      </c>
      <c r="C47" s="6" t="s">
        <v>84</v>
      </c>
      <c r="D47" s="7">
        <v>3</v>
      </c>
      <c r="E47" s="7">
        <v>0</v>
      </c>
      <c r="F47" s="7">
        <v>2</v>
      </c>
      <c r="G47" s="7">
        <v>0</v>
      </c>
      <c r="H47" s="8" t="s">
        <v>56</v>
      </c>
      <c r="I47" s="7"/>
      <c r="J47" s="7"/>
      <c r="K47" s="7">
        <v>2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5" customHeight="1" x14ac:dyDescent="0.25">
      <c r="A48" s="19"/>
      <c r="B48" s="5" t="s">
        <v>85</v>
      </c>
      <c r="C48" s="6" t="s">
        <v>86</v>
      </c>
      <c r="D48" s="7">
        <v>2</v>
      </c>
      <c r="E48" s="7">
        <v>0</v>
      </c>
      <c r="F48" s="7">
        <v>2</v>
      </c>
      <c r="G48" s="7">
        <v>0</v>
      </c>
      <c r="H48" s="8" t="s">
        <v>87</v>
      </c>
      <c r="I48" s="7"/>
      <c r="J48" s="7"/>
      <c r="K48" s="7">
        <v>2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.5" customHeight="1" x14ac:dyDescent="0.25">
      <c r="A49" s="19"/>
      <c r="B49" s="9" t="s">
        <v>88</v>
      </c>
      <c r="C49" s="10" t="s">
        <v>89</v>
      </c>
      <c r="D49" s="7">
        <v>3</v>
      </c>
      <c r="E49" s="7">
        <v>0</v>
      </c>
      <c r="F49" s="7">
        <v>2</v>
      </c>
      <c r="G49" s="7">
        <v>0</v>
      </c>
      <c r="H49" s="8" t="s">
        <v>90</v>
      </c>
      <c r="I49" s="7"/>
      <c r="J49" s="7"/>
      <c r="K49" s="7">
        <v>2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8" customHeight="1" x14ac:dyDescent="0.25">
      <c r="A50" s="19"/>
      <c r="B50" s="9"/>
      <c r="C50" s="10"/>
      <c r="D50" s="7"/>
      <c r="E50" s="7"/>
      <c r="F50" s="7">
        <f>D50</f>
        <v>0</v>
      </c>
      <c r="G50" s="7">
        <f>E50*3</f>
        <v>0</v>
      </c>
      <c r="H50" s="8"/>
      <c r="I50" s="7"/>
      <c r="J50" s="7" t="s">
        <v>33</v>
      </c>
      <c r="K50" s="7">
        <v>8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25">
      <c r="A51" s="20"/>
      <c r="B51" s="11"/>
      <c r="C51" s="11"/>
      <c r="D51" s="4"/>
      <c r="E51" s="4"/>
      <c r="F51" s="4"/>
      <c r="G51" s="4"/>
      <c r="H51" s="4"/>
      <c r="I51" s="4">
        <f>SUM(I46:I50)</f>
        <v>0</v>
      </c>
      <c r="J51" s="4">
        <f>SUM(J46:J50)</f>
        <v>0</v>
      </c>
      <c r="K51" s="4">
        <f>SUM(K46:K50)</f>
        <v>16</v>
      </c>
    </row>
    <row r="52" spans="1:26" ht="14.25" customHeight="1" x14ac:dyDescent="0.25">
      <c r="A52" s="18" t="s">
        <v>91</v>
      </c>
      <c r="B52" s="5" t="s">
        <v>92</v>
      </c>
      <c r="C52" s="6" t="s">
        <v>93</v>
      </c>
      <c r="D52" s="7">
        <v>2</v>
      </c>
      <c r="E52" s="7">
        <v>1</v>
      </c>
      <c r="F52" s="7">
        <v>2</v>
      </c>
      <c r="G52" s="7">
        <v>3</v>
      </c>
      <c r="H52" s="8" t="s">
        <v>68</v>
      </c>
      <c r="I52" s="7"/>
      <c r="J52" s="7"/>
      <c r="K52" s="7">
        <v>5</v>
      </c>
    </row>
    <row r="53" spans="1:26" ht="14.25" customHeight="1" x14ac:dyDescent="0.25">
      <c r="A53" s="19"/>
      <c r="B53" s="5" t="s">
        <v>63</v>
      </c>
      <c r="C53" s="6" t="s">
        <v>64</v>
      </c>
      <c r="D53" s="7">
        <v>3</v>
      </c>
      <c r="E53" s="7">
        <v>0</v>
      </c>
      <c r="F53" s="7">
        <v>2</v>
      </c>
      <c r="G53" s="7">
        <v>0</v>
      </c>
      <c r="H53" s="8" t="s">
        <v>94</v>
      </c>
      <c r="I53" s="7"/>
      <c r="J53" s="7"/>
      <c r="K53" s="7">
        <v>2</v>
      </c>
    </row>
    <row r="54" spans="1:26" ht="14.25" customHeight="1" x14ac:dyDescent="0.25">
      <c r="A54" s="19"/>
      <c r="B54" s="5" t="s">
        <v>95</v>
      </c>
      <c r="C54" s="6" t="s">
        <v>96</v>
      </c>
      <c r="D54" s="7">
        <v>2</v>
      </c>
      <c r="E54" s="7">
        <v>1</v>
      </c>
      <c r="F54" s="7">
        <v>2</v>
      </c>
      <c r="G54" s="7">
        <v>3</v>
      </c>
      <c r="H54" s="8" t="s">
        <v>97</v>
      </c>
      <c r="I54" s="7"/>
      <c r="J54" s="7"/>
      <c r="K54" s="7">
        <v>5</v>
      </c>
    </row>
    <row r="55" spans="1:26" ht="14.25" customHeight="1" x14ac:dyDescent="0.25">
      <c r="A55" s="19"/>
      <c r="B55" s="9" t="s">
        <v>98</v>
      </c>
      <c r="C55" s="10" t="s">
        <v>50</v>
      </c>
      <c r="D55" s="7">
        <v>2</v>
      </c>
      <c r="E55" s="7">
        <v>0</v>
      </c>
      <c r="F55" s="7">
        <v>2</v>
      </c>
      <c r="G55" s="7">
        <v>0</v>
      </c>
      <c r="H55" s="8" t="s">
        <v>90</v>
      </c>
      <c r="I55" s="7"/>
      <c r="J55" s="7"/>
      <c r="K55" s="7">
        <v>2</v>
      </c>
    </row>
    <row r="56" spans="1:26" ht="14.25" customHeight="1" x14ac:dyDescent="0.25">
      <c r="A56" s="19"/>
      <c r="B56" s="9"/>
      <c r="C56" s="10"/>
      <c r="D56" s="7"/>
      <c r="E56" s="7"/>
      <c r="F56" s="7">
        <f>D56</f>
        <v>0</v>
      </c>
      <c r="G56" s="7">
        <f>E56*3</f>
        <v>0</v>
      </c>
      <c r="H56" s="8"/>
      <c r="I56" s="7"/>
      <c r="J56" s="7" t="s">
        <v>33</v>
      </c>
      <c r="K56" s="7">
        <v>14</v>
      </c>
    </row>
    <row r="57" spans="1:26" ht="14.25" customHeight="1" x14ac:dyDescent="0.25">
      <c r="A57" s="20"/>
      <c r="B57" s="11"/>
      <c r="C57" s="11"/>
      <c r="D57" s="4"/>
      <c r="E57" s="4"/>
      <c r="F57" s="4"/>
      <c r="G57" s="4"/>
      <c r="H57" s="4"/>
      <c r="I57" s="4">
        <f>SUM(I52:I56)</f>
        <v>0</v>
      </c>
      <c r="J57" s="4">
        <f>SUM(J52:J56)</f>
        <v>0</v>
      </c>
      <c r="K57" s="4">
        <f>SUM(K52:K56)</f>
        <v>28</v>
      </c>
    </row>
    <row r="58" spans="1:26" ht="14.25" customHeight="1" x14ac:dyDescent="0.25">
      <c r="A58" s="18" t="s">
        <v>99</v>
      </c>
      <c r="B58" s="5" t="s">
        <v>100</v>
      </c>
      <c r="C58" s="6" t="s">
        <v>101</v>
      </c>
      <c r="D58" s="7">
        <v>3</v>
      </c>
      <c r="E58" s="7">
        <v>0</v>
      </c>
      <c r="F58" s="7">
        <v>2</v>
      </c>
      <c r="G58" s="7">
        <v>0</v>
      </c>
      <c r="H58" s="8" t="s">
        <v>102</v>
      </c>
      <c r="I58" s="7"/>
      <c r="J58" s="7"/>
      <c r="K58" s="7">
        <v>2</v>
      </c>
    </row>
    <row r="59" spans="1:26" ht="14.25" customHeight="1" x14ac:dyDescent="0.25">
      <c r="A59" s="19"/>
      <c r="B59" s="5" t="s">
        <v>103</v>
      </c>
      <c r="C59" s="6" t="s">
        <v>104</v>
      </c>
      <c r="D59" s="7">
        <v>3</v>
      </c>
      <c r="E59" s="7">
        <v>0</v>
      </c>
      <c r="F59" s="7">
        <v>3</v>
      </c>
      <c r="G59" s="7">
        <v>0</v>
      </c>
      <c r="H59" s="8" t="s">
        <v>76</v>
      </c>
      <c r="I59" s="7"/>
      <c r="J59" s="7"/>
      <c r="K59" s="7">
        <v>3</v>
      </c>
    </row>
    <row r="60" spans="1:26" ht="14.25" customHeight="1" x14ac:dyDescent="0.25">
      <c r="A60" s="19"/>
      <c r="B60" s="5" t="s">
        <v>105</v>
      </c>
      <c r="C60" s="6" t="s">
        <v>106</v>
      </c>
      <c r="D60" s="7">
        <v>1</v>
      </c>
      <c r="E60" s="7">
        <v>3</v>
      </c>
      <c r="F60" s="7">
        <v>2</v>
      </c>
      <c r="G60" s="7">
        <v>3</v>
      </c>
      <c r="H60" s="8" t="s">
        <v>68</v>
      </c>
      <c r="I60" s="7"/>
      <c r="J60" s="7"/>
      <c r="K60" s="7">
        <v>5</v>
      </c>
    </row>
    <row r="61" spans="1:26" ht="14.25" customHeight="1" x14ac:dyDescent="0.25">
      <c r="A61" s="19"/>
      <c r="B61" s="9" t="s">
        <v>85</v>
      </c>
      <c r="C61" s="10" t="s">
        <v>86</v>
      </c>
      <c r="D61" s="7">
        <v>2</v>
      </c>
      <c r="E61" s="7">
        <v>0</v>
      </c>
      <c r="F61" s="7">
        <v>2</v>
      </c>
      <c r="G61" s="7">
        <v>0</v>
      </c>
      <c r="H61" s="8" t="s">
        <v>107</v>
      </c>
      <c r="I61" s="7"/>
      <c r="J61" s="7"/>
      <c r="K61" s="7">
        <v>2</v>
      </c>
    </row>
    <row r="62" spans="1:26" ht="14.25" customHeight="1" x14ac:dyDescent="0.25">
      <c r="A62" s="19"/>
      <c r="B62" s="9"/>
      <c r="C62" s="10"/>
      <c r="D62" s="7"/>
      <c r="E62" s="7"/>
      <c r="F62" s="7">
        <f>D62</f>
        <v>0</v>
      </c>
      <c r="G62" s="7">
        <f>E62*3</f>
        <v>0</v>
      </c>
      <c r="H62" s="8"/>
      <c r="I62" s="7"/>
      <c r="J62" s="7" t="s">
        <v>33</v>
      </c>
      <c r="K62" s="7">
        <v>12</v>
      </c>
    </row>
    <row r="63" spans="1:26" ht="14.25" customHeight="1" x14ac:dyDescent="0.25">
      <c r="A63" s="20"/>
      <c r="B63" s="11"/>
      <c r="C63" s="11"/>
      <c r="D63" s="4"/>
      <c r="E63" s="4"/>
      <c r="F63" s="4"/>
      <c r="G63" s="4"/>
      <c r="H63" s="4"/>
      <c r="I63" s="4">
        <f>SUM(I58:I62)</f>
        <v>0</v>
      </c>
      <c r="J63" s="4">
        <f>SUM(J58:J62)</f>
        <v>0</v>
      </c>
      <c r="K63" s="4">
        <f>SUM(K58:K62)</f>
        <v>24</v>
      </c>
    </row>
    <row r="64" spans="1:26" ht="14.25" customHeight="1" x14ac:dyDescent="0.25">
      <c r="A64" s="18" t="s">
        <v>108</v>
      </c>
      <c r="B64" s="5" t="s">
        <v>109</v>
      </c>
      <c r="C64" s="6" t="s">
        <v>110</v>
      </c>
      <c r="D64" s="7">
        <v>2</v>
      </c>
      <c r="E64" s="7">
        <v>1</v>
      </c>
      <c r="F64" s="7">
        <v>2</v>
      </c>
      <c r="G64" s="7">
        <v>3</v>
      </c>
      <c r="H64" s="8" t="s">
        <v>68</v>
      </c>
      <c r="I64" s="7"/>
      <c r="J64" s="7"/>
      <c r="K64" s="7">
        <v>5</v>
      </c>
    </row>
    <row r="65" spans="1:11" ht="14.25" customHeight="1" x14ac:dyDescent="0.25">
      <c r="A65" s="19"/>
      <c r="B65" s="5" t="s">
        <v>47</v>
      </c>
      <c r="C65" s="6" t="s">
        <v>48</v>
      </c>
      <c r="D65" s="7">
        <v>3</v>
      </c>
      <c r="E65" s="7">
        <v>0</v>
      </c>
      <c r="F65" s="7">
        <v>2</v>
      </c>
      <c r="G65" s="7">
        <v>0</v>
      </c>
      <c r="H65" s="8" t="s">
        <v>102</v>
      </c>
      <c r="I65" s="7"/>
      <c r="J65" s="7"/>
      <c r="K65" s="7">
        <v>2</v>
      </c>
    </row>
    <row r="66" spans="1:11" ht="14.25" customHeight="1" x14ac:dyDescent="0.25">
      <c r="A66" s="19"/>
      <c r="B66" s="5" t="s">
        <v>111</v>
      </c>
      <c r="C66" s="6" t="s">
        <v>112</v>
      </c>
      <c r="D66" s="7">
        <v>3</v>
      </c>
      <c r="E66" s="7">
        <v>4</v>
      </c>
      <c r="F66" s="7">
        <v>2</v>
      </c>
      <c r="G66" s="7">
        <v>3</v>
      </c>
      <c r="H66" s="8" t="s">
        <v>113</v>
      </c>
      <c r="I66" s="7"/>
      <c r="J66" s="7"/>
      <c r="K66" s="7">
        <v>5</v>
      </c>
    </row>
    <row r="67" spans="1:11" ht="14.25" customHeight="1" x14ac:dyDescent="0.25">
      <c r="A67" s="19"/>
      <c r="B67" s="9" t="s">
        <v>38</v>
      </c>
      <c r="C67" s="10" t="s">
        <v>39</v>
      </c>
      <c r="D67" s="7">
        <v>2</v>
      </c>
      <c r="E67" s="7">
        <v>0</v>
      </c>
      <c r="F67" s="7">
        <v>2</v>
      </c>
      <c r="G67" s="7">
        <v>0</v>
      </c>
      <c r="H67" s="8" t="s">
        <v>56</v>
      </c>
      <c r="I67" s="7"/>
      <c r="J67" s="7"/>
      <c r="K67" s="7">
        <v>2</v>
      </c>
    </row>
    <row r="68" spans="1:11" ht="14.25" customHeight="1" x14ac:dyDescent="0.25">
      <c r="A68" s="19"/>
      <c r="B68" s="9"/>
      <c r="C68" s="10"/>
      <c r="D68" s="7"/>
      <c r="E68" s="7"/>
      <c r="F68" s="7">
        <f>D68</f>
        <v>0</v>
      </c>
      <c r="G68" s="7">
        <f>E68*3</f>
        <v>0</v>
      </c>
      <c r="H68" s="8"/>
      <c r="I68" s="7"/>
      <c r="J68" s="7" t="s">
        <v>33</v>
      </c>
      <c r="K68" s="7">
        <v>14</v>
      </c>
    </row>
    <row r="69" spans="1:11" ht="14.25" customHeight="1" x14ac:dyDescent="0.25">
      <c r="A69" s="20"/>
      <c r="B69" s="11"/>
      <c r="C69" s="11"/>
      <c r="D69" s="4"/>
      <c r="E69" s="4"/>
      <c r="F69" s="4"/>
      <c r="G69" s="4"/>
      <c r="H69" s="4"/>
      <c r="I69" s="4">
        <f>SUM(I64:I68)</f>
        <v>0</v>
      </c>
      <c r="J69" s="4">
        <f>SUM(J64:J68)</f>
        <v>0</v>
      </c>
      <c r="K69" s="4">
        <f>SUM(K64:K68)</f>
        <v>28</v>
      </c>
    </row>
    <row r="70" spans="1:11" ht="14.25" customHeight="1" x14ac:dyDescent="0.25">
      <c r="A70" s="18" t="s">
        <v>114</v>
      </c>
      <c r="B70" s="5" t="s">
        <v>115</v>
      </c>
      <c r="C70" s="6" t="s">
        <v>116</v>
      </c>
      <c r="D70" s="7">
        <v>2</v>
      </c>
      <c r="E70" s="7">
        <v>1</v>
      </c>
      <c r="F70" s="7">
        <v>2</v>
      </c>
      <c r="G70" s="7">
        <v>3</v>
      </c>
      <c r="H70" s="8" t="s">
        <v>117</v>
      </c>
      <c r="I70" s="7"/>
      <c r="J70" s="7"/>
      <c r="K70" s="7">
        <v>5</v>
      </c>
    </row>
    <row r="71" spans="1:11" ht="14.25" customHeight="1" x14ac:dyDescent="0.25">
      <c r="A71" s="19"/>
      <c r="B71" s="5" t="s">
        <v>103</v>
      </c>
      <c r="C71" s="6" t="s">
        <v>104</v>
      </c>
      <c r="D71" s="7">
        <v>3</v>
      </c>
      <c r="E71" s="7">
        <v>0</v>
      </c>
      <c r="F71" s="7">
        <v>3</v>
      </c>
      <c r="G71" s="7">
        <v>0</v>
      </c>
      <c r="H71" s="8" t="s">
        <v>118</v>
      </c>
      <c r="I71" s="7"/>
      <c r="J71" s="7"/>
      <c r="K71" s="7">
        <v>3</v>
      </c>
    </row>
    <row r="72" spans="1:11" ht="14.25" customHeight="1" x14ac:dyDescent="0.25">
      <c r="A72" s="19"/>
      <c r="B72" s="5" t="s">
        <v>119</v>
      </c>
      <c r="C72" s="6" t="s">
        <v>120</v>
      </c>
      <c r="D72" s="7">
        <v>2</v>
      </c>
      <c r="E72" s="7">
        <v>1</v>
      </c>
      <c r="F72" s="7">
        <v>2</v>
      </c>
      <c r="G72" s="7">
        <v>3</v>
      </c>
      <c r="H72" s="8" t="s">
        <v>60</v>
      </c>
      <c r="I72" s="7"/>
      <c r="J72" s="7"/>
      <c r="K72" s="7">
        <v>5</v>
      </c>
    </row>
    <row r="73" spans="1:11" ht="14.25" customHeight="1" x14ac:dyDescent="0.25">
      <c r="A73" s="19"/>
      <c r="B73" s="9" t="s">
        <v>25</v>
      </c>
      <c r="C73" s="10" t="s">
        <v>26</v>
      </c>
      <c r="D73" s="7">
        <v>3</v>
      </c>
      <c r="E73" s="7">
        <v>0</v>
      </c>
      <c r="F73" s="7">
        <v>2</v>
      </c>
      <c r="G73" s="7">
        <v>0</v>
      </c>
      <c r="H73" s="8" t="s">
        <v>56</v>
      </c>
      <c r="I73" s="7"/>
      <c r="J73" s="7"/>
      <c r="K73" s="7">
        <v>2</v>
      </c>
    </row>
    <row r="74" spans="1:11" ht="14.25" customHeight="1" x14ac:dyDescent="0.25">
      <c r="A74" s="19"/>
      <c r="B74" s="9"/>
      <c r="C74" s="10"/>
      <c r="D74" s="7"/>
      <c r="E74" s="7"/>
      <c r="F74" s="7">
        <f>D74</f>
        <v>0</v>
      </c>
      <c r="G74" s="7">
        <f>E74*3</f>
        <v>0</v>
      </c>
      <c r="H74" s="8"/>
      <c r="I74" s="7"/>
      <c r="J74" s="7" t="s">
        <v>33</v>
      </c>
      <c r="K74" s="7">
        <v>15</v>
      </c>
    </row>
    <row r="75" spans="1:11" ht="14.25" customHeight="1" x14ac:dyDescent="0.25">
      <c r="A75" s="20"/>
      <c r="B75" s="11"/>
      <c r="C75" s="11"/>
      <c r="D75" s="4"/>
      <c r="E75" s="4"/>
      <c r="F75" s="4"/>
      <c r="G75" s="4"/>
      <c r="H75" s="4"/>
      <c r="I75" s="4">
        <f>SUM(I70:I74)</f>
        <v>0</v>
      </c>
      <c r="J75" s="4">
        <f>SUM(J70:J74)</f>
        <v>0</v>
      </c>
      <c r="K75" s="4">
        <f>SUM(K70:K74)</f>
        <v>30</v>
      </c>
    </row>
    <row r="76" spans="1:11" ht="14.25" customHeight="1" x14ac:dyDescent="0.25">
      <c r="A76" s="18" t="s">
        <v>121</v>
      </c>
      <c r="B76" s="5" t="s">
        <v>122</v>
      </c>
      <c r="C76" s="6" t="s">
        <v>123</v>
      </c>
      <c r="D76" s="7">
        <v>2</v>
      </c>
      <c r="E76" s="7">
        <v>1</v>
      </c>
      <c r="F76" s="7">
        <v>2</v>
      </c>
      <c r="G76" s="7">
        <v>3</v>
      </c>
      <c r="H76" s="8" t="s">
        <v>107</v>
      </c>
      <c r="I76" s="7"/>
      <c r="J76" s="7"/>
      <c r="K76" s="7">
        <v>5</v>
      </c>
    </row>
    <row r="77" spans="1:11" ht="14.25" customHeight="1" x14ac:dyDescent="0.25">
      <c r="A77" s="19"/>
      <c r="B77" s="5" t="s">
        <v>124</v>
      </c>
      <c r="C77" s="6" t="s">
        <v>125</v>
      </c>
      <c r="D77" s="7">
        <v>3</v>
      </c>
      <c r="E77" s="7">
        <v>0</v>
      </c>
      <c r="F77" s="7">
        <v>2</v>
      </c>
      <c r="G77" s="7">
        <v>0</v>
      </c>
      <c r="H77" s="8" t="s">
        <v>126</v>
      </c>
      <c r="I77" s="7"/>
      <c r="J77" s="7"/>
      <c r="K77" s="7">
        <v>2</v>
      </c>
    </row>
    <row r="78" spans="1:11" ht="14.25" customHeight="1" x14ac:dyDescent="0.25">
      <c r="A78" s="19"/>
      <c r="B78" s="5" t="s">
        <v>127</v>
      </c>
      <c r="C78" s="6" t="s">
        <v>128</v>
      </c>
      <c r="D78" s="7">
        <v>2</v>
      </c>
      <c r="E78" s="7">
        <v>1</v>
      </c>
      <c r="F78" s="7">
        <v>2</v>
      </c>
      <c r="G78" s="7">
        <v>3</v>
      </c>
      <c r="H78" s="8" t="s">
        <v>79</v>
      </c>
      <c r="I78" s="7"/>
      <c r="J78" s="7"/>
      <c r="K78" s="7">
        <v>5</v>
      </c>
    </row>
    <row r="79" spans="1:11" ht="14.25" customHeight="1" x14ac:dyDescent="0.25">
      <c r="A79" s="19"/>
      <c r="B79" s="9" t="s">
        <v>41</v>
      </c>
      <c r="C79" s="10" t="s">
        <v>42</v>
      </c>
      <c r="D79" s="7">
        <v>3</v>
      </c>
      <c r="E79" s="7">
        <v>0</v>
      </c>
      <c r="F79" s="7">
        <v>2</v>
      </c>
      <c r="G79" s="7">
        <v>0</v>
      </c>
      <c r="H79" s="8" t="s">
        <v>60</v>
      </c>
      <c r="I79" s="7"/>
      <c r="J79" s="7"/>
      <c r="K79" s="7">
        <v>2</v>
      </c>
    </row>
    <row r="80" spans="1:11" ht="14.25" customHeight="1" x14ac:dyDescent="0.25">
      <c r="A80" s="19"/>
      <c r="B80" s="9"/>
      <c r="C80" s="10"/>
      <c r="D80" s="7"/>
      <c r="E80" s="7"/>
      <c r="F80" s="7">
        <f>D80</f>
        <v>0</v>
      </c>
      <c r="G80" s="7">
        <f>E80*3</f>
        <v>0</v>
      </c>
      <c r="H80" s="8"/>
      <c r="I80" s="7"/>
      <c r="J80" s="7" t="s">
        <v>33</v>
      </c>
      <c r="K80" s="7">
        <v>14</v>
      </c>
    </row>
    <row r="81" spans="1:11" ht="14.25" customHeight="1" x14ac:dyDescent="0.25">
      <c r="A81" s="20"/>
      <c r="B81" s="11"/>
      <c r="C81" s="11"/>
      <c r="D81" s="4"/>
      <c r="E81" s="4"/>
      <c r="F81" s="4"/>
      <c r="G81" s="4"/>
      <c r="H81" s="4"/>
      <c r="I81" s="4">
        <f>SUM(I76:I80)</f>
        <v>0</v>
      </c>
      <c r="J81" s="4">
        <f>SUM(J76:J80)</f>
        <v>0</v>
      </c>
      <c r="K81" s="4">
        <f>SUM(K76:K80)</f>
        <v>28</v>
      </c>
    </row>
    <row r="82" spans="1:11" ht="14.25" customHeight="1" x14ac:dyDescent="0.25">
      <c r="A82" s="18" t="s">
        <v>129</v>
      </c>
      <c r="B82" s="5" t="s">
        <v>130</v>
      </c>
      <c r="C82" s="6" t="s">
        <v>131</v>
      </c>
      <c r="D82" s="7">
        <v>2</v>
      </c>
      <c r="E82" s="7">
        <v>1</v>
      </c>
      <c r="F82" s="7">
        <v>2</v>
      </c>
      <c r="G82" s="7">
        <v>3</v>
      </c>
      <c r="H82" s="8" t="s">
        <v>51</v>
      </c>
      <c r="I82" s="7"/>
      <c r="J82" s="7"/>
      <c r="K82" s="7">
        <v>5</v>
      </c>
    </row>
    <row r="83" spans="1:11" ht="14.25" customHeight="1" x14ac:dyDescent="0.25">
      <c r="A83" s="19"/>
      <c r="B83" s="5" t="s">
        <v>132</v>
      </c>
      <c r="C83" s="6" t="s">
        <v>133</v>
      </c>
      <c r="D83" s="7">
        <v>2</v>
      </c>
      <c r="E83" s="7">
        <v>1</v>
      </c>
      <c r="F83" s="7">
        <v>2</v>
      </c>
      <c r="G83" s="7">
        <v>3</v>
      </c>
      <c r="H83" s="8" t="s">
        <v>87</v>
      </c>
      <c r="I83" s="7"/>
      <c r="J83" s="7"/>
      <c r="K83" s="7">
        <v>5</v>
      </c>
    </row>
    <row r="84" spans="1:11" ht="14.25" customHeight="1" x14ac:dyDescent="0.25">
      <c r="A84" s="19"/>
      <c r="B84" s="5" t="s">
        <v>81</v>
      </c>
      <c r="C84" s="6" t="s">
        <v>50</v>
      </c>
      <c r="D84" s="7">
        <v>3</v>
      </c>
      <c r="E84" s="7">
        <v>0</v>
      </c>
      <c r="F84" s="7">
        <v>2</v>
      </c>
      <c r="G84" s="7">
        <v>0</v>
      </c>
      <c r="H84" s="8" t="s">
        <v>79</v>
      </c>
      <c r="I84" s="7"/>
      <c r="J84" s="7"/>
      <c r="K84" s="7">
        <v>2</v>
      </c>
    </row>
    <row r="85" spans="1:11" ht="14.25" customHeight="1" x14ac:dyDescent="0.25">
      <c r="A85" s="19"/>
      <c r="B85" s="9" t="s">
        <v>124</v>
      </c>
      <c r="C85" s="10" t="s">
        <v>125</v>
      </c>
      <c r="D85" s="7">
        <v>3</v>
      </c>
      <c r="E85" s="7">
        <v>0</v>
      </c>
      <c r="F85" s="7">
        <v>2</v>
      </c>
      <c r="G85" s="7">
        <v>0</v>
      </c>
      <c r="H85" s="8" t="s">
        <v>94</v>
      </c>
      <c r="I85" s="7"/>
      <c r="J85" s="7"/>
      <c r="K85" s="7">
        <v>2</v>
      </c>
    </row>
    <row r="86" spans="1:11" ht="14.25" customHeight="1" x14ac:dyDescent="0.25">
      <c r="A86" s="19"/>
      <c r="B86" s="9"/>
      <c r="C86" s="10"/>
      <c r="D86" s="7"/>
      <c r="E86" s="7"/>
      <c r="F86" s="7">
        <f>D86</f>
        <v>0</v>
      </c>
      <c r="G86" s="7">
        <f>E86*3</f>
        <v>0</v>
      </c>
      <c r="H86" s="8"/>
      <c r="I86" s="7"/>
      <c r="J86" s="7" t="s">
        <v>33</v>
      </c>
      <c r="K86" s="7">
        <v>14</v>
      </c>
    </row>
    <row r="87" spans="1:11" ht="14.25" customHeight="1" x14ac:dyDescent="0.25">
      <c r="A87" s="20"/>
      <c r="B87" s="11"/>
      <c r="C87" s="11"/>
      <c r="D87" s="4"/>
      <c r="E87" s="4"/>
      <c r="F87" s="4"/>
      <c r="G87" s="4"/>
      <c r="H87" s="4"/>
      <c r="I87" s="4">
        <f>SUM(I82:I86)</f>
        <v>0</v>
      </c>
      <c r="J87" s="4">
        <f>SUM(J82:J86)</f>
        <v>0</v>
      </c>
      <c r="K87" s="4">
        <f>SUM(K82:K86)</f>
        <v>28</v>
      </c>
    </row>
    <row r="88" spans="1:11" ht="14.25" customHeight="1" x14ac:dyDescent="0.25">
      <c r="A88" s="18" t="s">
        <v>134</v>
      </c>
      <c r="B88" s="5" t="s">
        <v>135</v>
      </c>
      <c r="C88" s="6" t="s">
        <v>136</v>
      </c>
      <c r="D88" s="7">
        <v>3</v>
      </c>
      <c r="E88" s="7">
        <v>0</v>
      </c>
      <c r="F88" s="7">
        <v>2</v>
      </c>
      <c r="G88" s="7">
        <v>0</v>
      </c>
      <c r="H88" s="8" t="s">
        <v>40</v>
      </c>
      <c r="I88" s="7"/>
      <c r="J88" s="7"/>
      <c r="K88" s="7">
        <v>2</v>
      </c>
    </row>
    <row r="89" spans="1:11" ht="14.25" customHeight="1" x14ac:dyDescent="0.25">
      <c r="A89" s="19"/>
      <c r="B89" s="5" t="s">
        <v>137</v>
      </c>
      <c r="C89" s="6" t="s">
        <v>73</v>
      </c>
      <c r="D89" s="7">
        <v>2</v>
      </c>
      <c r="E89" s="7">
        <v>1</v>
      </c>
      <c r="F89" s="7">
        <v>2</v>
      </c>
      <c r="G89" s="7">
        <v>3</v>
      </c>
      <c r="H89" s="8" t="s">
        <v>68</v>
      </c>
      <c r="I89" s="7"/>
      <c r="J89" s="7"/>
      <c r="K89" s="7">
        <v>5</v>
      </c>
    </row>
    <row r="90" spans="1:11" ht="14.25" customHeight="1" x14ac:dyDescent="0.25">
      <c r="A90" s="19"/>
      <c r="B90" s="5" t="s">
        <v>138</v>
      </c>
      <c r="C90" s="6" t="s">
        <v>139</v>
      </c>
      <c r="D90" s="7">
        <v>3</v>
      </c>
      <c r="E90" s="7">
        <v>3</v>
      </c>
      <c r="F90" s="7">
        <v>2</v>
      </c>
      <c r="G90" s="7">
        <v>3</v>
      </c>
      <c r="H90" s="8" t="s">
        <v>140</v>
      </c>
      <c r="I90" s="7"/>
      <c r="J90" s="7"/>
      <c r="K90" s="7">
        <v>5</v>
      </c>
    </row>
    <row r="91" spans="1:11" ht="14.25" customHeight="1" x14ac:dyDescent="0.25">
      <c r="A91" s="19"/>
      <c r="B91" s="9" t="s">
        <v>63</v>
      </c>
      <c r="C91" s="10" t="s">
        <v>64</v>
      </c>
      <c r="D91" s="7">
        <v>3</v>
      </c>
      <c r="E91" s="7">
        <v>0</v>
      </c>
      <c r="F91" s="7">
        <v>2</v>
      </c>
      <c r="G91" s="7">
        <v>0</v>
      </c>
      <c r="H91" s="8" t="s">
        <v>141</v>
      </c>
      <c r="I91" s="7"/>
      <c r="J91" s="7"/>
      <c r="K91" s="7">
        <v>2</v>
      </c>
    </row>
    <row r="92" spans="1:11" ht="14.25" customHeight="1" x14ac:dyDescent="0.25">
      <c r="A92" s="19"/>
      <c r="B92" s="9"/>
      <c r="C92" s="10"/>
      <c r="D92" s="7"/>
      <c r="E92" s="7"/>
      <c r="F92" s="7">
        <f>D92</f>
        <v>0</v>
      </c>
      <c r="G92" s="7">
        <f>E92*3</f>
        <v>0</v>
      </c>
      <c r="H92" s="8"/>
      <c r="I92" s="7"/>
      <c r="J92" s="7" t="s">
        <v>33</v>
      </c>
      <c r="K92" s="7">
        <v>14</v>
      </c>
    </row>
    <row r="93" spans="1:11" ht="14.25" customHeight="1" x14ac:dyDescent="0.25">
      <c r="A93" s="20"/>
      <c r="B93" s="11"/>
      <c r="C93" s="11"/>
      <c r="D93" s="4"/>
      <c r="E93" s="4"/>
      <c r="F93" s="4"/>
      <c r="G93" s="4"/>
      <c r="H93" s="4"/>
      <c r="I93" s="4">
        <f>SUM(I88:I92)</f>
        <v>0</v>
      </c>
      <c r="J93" s="4">
        <f>SUM(J88:J92)</f>
        <v>0</v>
      </c>
      <c r="K93" s="4">
        <f>SUM(K88:K92)</f>
        <v>28</v>
      </c>
    </row>
    <row r="94" spans="1:11" ht="14.25" customHeight="1" x14ac:dyDescent="0.25">
      <c r="A94" s="18" t="s">
        <v>142</v>
      </c>
      <c r="B94" s="5" t="s">
        <v>61</v>
      </c>
      <c r="C94" s="6" t="s">
        <v>62</v>
      </c>
      <c r="D94" s="7">
        <v>3</v>
      </c>
      <c r="E94" s="7">
        <v>3</v>
      </c>
      <c r="F94" s="7">
        <v>2</v>
      </c>
      <c r="G94" s="7">
        <v>3</v>
      </c>
      <c r="H94" s="8" t="s">
        <v>143</v>
      </c>
      <c r="I94" s="7"/>
      <c r="J94" s="7"/>
      <c r="K94" s="7">
        <v>5</v>
      </c>
    </row>
    <row r="95" spans="1:11" ht="14.25" customHeight="1" x14ac:dyDescent="0.25">
      <c r="A95" s="19"/>
      <c r="B95" s="5" t="s">
        <v>144</v>
      </c>
      <c r="C95" s="6" t="s">
        <v>145</v>
      </c>
      <c r="D95" s="7">
        <v>3</v>
      </c>
      <c r="E95" s="7">
        <v>3</v>
      </c>
      <c r="F95" s="7">
        <v>2</v>
      </c>
      <c r="G95" s="7">
        <v>3</v>
      </c>
      <c r="H95" s="8" t="s">
        <v>113</v>
      </c>
      <c r="I95" s="7"/>
      <c r="J95" s="7"/>
      <c r="K95" s="7">
        <v>5</v>
      </c>
    </row>
    <row r="96" spans="1:11" ht="14.25" customHeight="1" x14ac:dyDescent="0.25">
      <c r="A96" s="19"/>
      <c r="B96" s="5" t="s">
        <v>70</v>
      </c>
      <c r="C96" s="6" t="s">
        <v>71</v>
      </c>
      <c r="D96" s="7">
        <v>3</v>
      </c>
      <c r="E96" s="7">
        <v>3</v>
      </c>
      <c r="F96" s="7">
        <v>2</v>
      </c>
      <c r="G96" s="7">
        <v>3</v>
      </c>
      <c r="H96" s="8" t="s">
        <v>97</v>
      </c>
      <c r="I96" s="7"/>
      <c r="J96" s="7"/>
      <c r="K96" s="7">
        <v>5</v>
      </c>
    </row>
    <row r="97" spans="1:11" ht="14.25" customHeight="1" x14ac:dyDescent="0.25">
      <c r="A97" s="19"/>
      <c r="B97" s="9" t="s">
        <v>146</v>
      </c>
      <c r="C97" s="10" t="s">
        <v>147</v>
      </c>
      <c r="D97" s="7">
        <v>3</v>
      </c>
      <c r="E97" s="7">
        <v>0</v>
      </c>
      <c r="F97" s="7">
        <v>2</v>
      </c>
      <c r="G97" s="7">
        <v>0</v>
      </c>
      <c r="H97" s="8" t="s">
        <v>24</v>
      </c>
      <c r="I97" s="7"/>
      <c r="J97" s="7"/>
      <c r="K97" s="7">
        <v>2</v>
      </c>
    </row>
    <row r="98" spans="1:11" ht="14.25" customHeight="1" x14ac:dyDescent="0.25">
      <c r="A98" s="19"/>
      <c r="B98" s="9"/>
      <c r="C98" s="10"/>
      <c r="D98" s="7"/>
      <c r="E98" s="7"/>
      <c r="F98" s="7">
        <f>D98</f>
        <v>0</v>
      </c>
      <c r="G98" s="7">
        <f>E98*3</f>
        <v>0</v>
      </c>
      <c r="H98" s="8"/>
      <c r="I98" s="7"/>
      <c r="J98" s="7" t="s">
        <v>33</v>
      </c>
      <c r="K98" s="7">
        <v>17</v>
      </c>
    </row>
    <row r="99" spans="1:11" ht="14.25" customHeight="1" x14ac:dyDescent="0.25">
      <c r="A99" s="20"/>
      <c r="B99" s="11"/>
      <c r="C99" s="11"/>
      <c r="D99" s="4"/>
      <c r="E99" s="4"/>
      <c r="F99" s="4"/>
      <c r="G99" s="4"/>
      <c r="H99" s="4"/>
      <c r="I99" s="4">
        <f>SUM(I94:I98)</f>
        <v>0</v>
      </c>
      <c r="J99" s="4">
        <f>SUM(J94:J98)</f>
        <v>0</v>
      </c>
      <c r="K99" s="4">
        <f>SUM(K94:K98)</f>
        <v>34</v>
      </c>
    </row>
    <row r="100" spans="1:11" ht="14.25" customHeight="1" x14ac:dyDescent="0.25">
      <c r="A100" s="18" t="s">
        <v>148</v>
      </c>
      <c r="B100" s="5" t="s">
        <v>41</v>
      </c>
      <c r="C100" s="6" t="s">
        <v>42</v>
      </c>
      <c r="D100" s="7">
        <v>3</v>
      </c>
      <c r="E100" s="7">
        <v>0</v>
      </c>
      <c r="F100" s="7">
        <v>2</v>
      </c>
      <c r="G100" s="7">
        <v>0</v>
      </c>
      <c r="H100" s="8" t="s">
        <v>97</v>
      </c>
      <c r="I100" s="7"/>
      <c r="J100" s="7"/>
      <c r="K100" s="7">
        <v>2</v>
      </c>
    </row>
    <row r="101" spans="1:11" ht="14.25" customHeight="1" x14ac:dyDescent="0.25">
      <c r="A101" s="19"/>
      <c r="B101" s="5" t="s">
        <v>149</v>
      </c>
      <c r="C101" s="6" t="s">
        <v>150</v>
      </c>
      <c r="D101" s="7">
        <v>3</v>
      </c>
      <c r="E101" s="7">
        <v>0</v>
      </c>
      <c r="F101" s="7">
        <v>2</v>
      </c>
      <c r="G101" s="7">
        <v>0</v>
      </c>
      <c r="H101" s="8" t="s">
        <v>40</v>
      </c>
      <c r="I101" s="7"/>
      <c r="J101" s="7"/>
      <c r="K101" s="7">
        <v>2</v>
      </c>
    </row>
    <row r="102" spans="1:11" ht="14.25" customHeight="1" x14ac:dyDescent="0.25">
      <c r="A102" s="19"/>
      <c r="B102" s="5" t="s">
        <v>77</v>
      </c>
      <c r="C102" s="6" t="s">
        <v>78</v>
      </c>
      <c r="D102" s="7">
        <v>3</v>
      </c>
      <c r="E102" s="7">
        <v>4</v>
      </c>
      <c r="F102" s="7">
        <v>2</v>
      </c>
      <c r="G102" s="7">
        <v>3</v>
      </c>
      <c r="H102" s="8" t="s">
        <v>117</v>
      </c>
      <c r="I102" s="7"/>
      <c r="J102" s="7"/>
      <c r="K102" s="7">
        <v>5</v>
      </c>
    </row>
    <row r="103" spans="1:11" ht="14.25" customHeight="1" x14ac:dyDescent="0.25">
      <c r="A103" s="19"/>
      <c r="B103" s="9" t="s">
        <v>85</v>
      </c>
      <c r="C103" s="10" t="s">
        <v>86</v>
      </c>
      <c r="D103" s="7">
        <v>2</v>
      </c>
      <c r="E103" s="7">
        <v>0</v>
      </c>
      <c r="F103" s="7">
        <v>2</v>
      </c>
      <c r="G103" s="7">
        <v>0</v>
      </c>
      <c r="H103" s="8" t="s">
        <v>151</v>
      </c>
      <c r="I103" s="7"/>
      <c r="J103" s="7"/>
      <c r="K103" s="7">
        <v>2</v>
      </c>
    </row>
    <row r="104" spans="1:11" ht="14.25" customHeight="1" x14ac:dyDescent="0.25">
      <c r="A104" s="19"/>
      <c r="B104" s="9"/>
      <c r="C104" s="10"/>
      <c r="D104" s="7"/>
      <c r="E104" s="7"/>
      <c r="F104" s="7">
        <f>D104</f>
        <v>0</v>
      </c>
      <c r="G104" s="7">
        <f>E104*3</f>
        <v>0</v>
      </c>
      <c r="H104" s="8"/>
      <c r="I104" s="7"/>
      <c r="J104" s="7" t="s">
        <v>33</v>
      </c>
      <c r="K104" s="7">
        <v>11</v>
      </c>
    </row>
    <row r="105" spans="1:11" ht="14.25" customHeight="1" x14ac:dyDescent="0.25">
      <c r="A105" s="20"/>
      <c r="B105" s="11"/>
      <c r="C105" s="11"/>
      <c r="D105" s="4"/>
      <c r="E105" s="4"/>
      <c r="F105" s="4"/>
      <c r="G105" s="4"/>
      <c r="H105" s="4"/>
      <c r="I105" s="4">
        <f>SUM(I100:I104)</f>
        <v>0</v>
      </c>
      <c r="J105" s="4">
        <f>SUM(J100:J104)</f>
        <v>0</v>
      </c>
      <c r="K105" s="4">
        <f>SUM(K100:K104)</f>
        <v>22</v>
      </c>
    </row>
    <row r="106" spans="1:11" ht="14.25" customHeight="1" x14ac:dyDescent="0.25">
      <c r="A106" s="18" t="s">
        <v>152</v>
      </c>
      <c r="B106" s="5"/>
      <c r="C106" s="6"/>
      <c r="D106" s="7"/>
      <c r="E106" s="7"/>
      <c r="F106" s="7">
        <f>D106</f>
        <v>0</v>
      </c>
      <c r="G106" s="7">
        <f>E106*3</f>
        <v>0</v>
      </c>
      <c r="H106" s="8"/>
      <c r="I106" s="7"/>
      <c r="J106" s="7"/>
      <c r="K106" s="7">
        <f>SUM(F106:G106)*J106</f>
        <v>0</v>
      </c>
    </row>
    <row r="107" spans="1:11" ht="14.25" customHeight="1" x14ac:dyDescent="0.25">
      <c r="A107" s="19"/>
      <c r="B107" s="5"/>
      <c r="C107" s="6"/>
      <c r="D107" s="7"/>
      <c r="E107" s="7"/>
      <c r="F107" s="7">
        <f>D107</f>
        <v>0</v>
      </c>
      <c r="G107" s="7">
        <f>E107*3</f>
        <v>0</v>
      </c>
      <c r="H107" s="8"/>
      <c r="I107" s="7"/>
      <c r="J107" s="7"/>
      <c r="K107" s="7">
        <f>SUM(F107:G107)*J107</f>
        <v>0</v>
      </c>
    </row>
    <row r="108" spans="1:11" ht="14.25" customHeight="1" x14ac:dyDescent="0.25">
      <c r="A108" s="19"/>
      <c r="B108" s="5"/>
      <c r="C108" s="6"/>
      <c r="D108" s="7"/>
      <c r="E108" s="7"/>
      <c r="F108" s="7">
        <f>D108</f>
        <v>0</v>
      </c>
      <c r="G108" s="7">
        <f>E108*3</f>
        <v>0</v>
      </c>
      <c r="H108" s="8"/>
      <c r="I108" s="7"/>
      <c r="J108" s="7"/>
      <c r="K108" s="7">
        <f>SUM(F108:G108)*J108</f>
        <v>0</v>
      </c>
    </row>
    <row r="109" spans="1:11" ht="14.25" customHeight="1" x14ac:dyDescent="0.25">
      <c r="A109" s="19"/>
      <c r="B109" s="9"/>
      <c r="C109" s="10"/>
      <c r="D109" s="7"/>
      <c r="E109" s="7"/>
      <c r="F109" s="7">
        <f>D109</f>
        <v>0</v>
      </c>
      <c r="G109" s="7">
        <f>E109*3</f>
        <v>0</v>
      </c>
      <c r="H109" s="8"/>
      <c r="I109" s="7"/>
      <c r="J109" s="7"/>
      <c r="K109" s="7">
        <f>SUM(F109:G109)*J109</f>
        <v>0</v>
      </c>
    </row>
    <row r="110" spans="1:11" ht="14.25" customHeight="1" x14ac:dyDescent="0.25">
      <c r="A110" s="19"/>
      <c r="B110" s="9"/>
      <c r="C110" s="10"/>
      <c r="D110" s="7"/>
      <c r="E110" s="7"/>
      <c r="F110" s="7">
        <f>D110</f>
        <v>0</v>
      </c>
      <c r="G110" s="7">
        <f>E110*3</f>
        <v>0</v>
      </c>
      <c r="H110" s="8"/>
      <c r="I110" s="7"/>
      <c r="J110" s="7"/>
      <c r="K110" s="7">
        <f>SUM(F110:G110)*J110</f>
        <v>0</v>
      </c>
    </row>
    <row r="111" spans="1:11" ht="14.25" customHeight="1" x14ac:dyDescent="0.25">
      <c r="A111" s="20"/>
      <c r="B111" s="11"/>
      <c r="C111" s="11"/>
      <c r="D111" s="4"/>
      <c r="E111" s="4"/>
      <c r="F111" s="4"/>
      <c r="G111" s="4"/>
      <c r="H111" s="4"/>
      <c r="I111" s="4">
        <f>SUM(I106:I110)</f>
        <v>0</v>
      </c>
      <c r="J111" s="4">
        <f>SUM(J106:J110)</f>
        <v>0</v>
      </c>
      <c r="K111" s="4">
        <f>SUM(K106:K110)</f>
        <v>0</v>
      </c>
    </row>
    <row r="112" spans="1:11" ht="14.25" customHeigh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</row>
    <row r="113" spans="1:11" ht="14.25" customHeight="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</row>
    <row r="114" spans="1:11" ht="14.25" customHeight="1" x14ac:dyDescent="0.3">
      <c r="A114" s="14" t="s">
        <v>153</v>
      </c>
      <c r="B114" s="14"/>
      <c r="C114" s="14" t="s">
        <v>154</v>
      </c>
      <c r="D114" s="13" t="s">
        <v>155</v>
      </c>
      <c r="E114" s="13"/>
      <c r="F114" s="13"/>
      <c r="G114" s="14"/>
      <c r="H114" s="13"/>
      <c r="I114" s="13" t="s">
        <v>156</v>
      </c>
      <c r="J114" s="13"/>
      <c r="K114" s="13"/>
    </row>
    <row r="115" spans="1:11" ht="14.25" customHeight="1" x14ac:dyDescent="0.3">
      <c r="A115" s="14"/>
      <c r="B115" s="15"/>
      <c r="C115" s="14"/>
      <c r="D115" s="15"/>
      <c r="E115" s="15"/>
      <c r="F115" s="15"/>
      <c r="G115" s="15"/>
      <c r="H115" s="15"/>
      <c r="I115" s="15"/>
      <c r="J115" s="15"/>
      <c r="K115" s="15"/>
    </row>
    <row r="116" spans="1:11" ht="14.25" customHeight="1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</row>
    <row r="117" spans="1:11" ht="14.25" customHeight="1" x14ac:dyDescent="0.3">
      <c r="A117" s="16" t="s">
        <v>157</v>
      </c>
      <c r="B117" s="15"/>
      <c r="C117" s="16" t="s">
        <v>157</v>
      </c>
      <c r="D117" s="17" t="s">
        <v>158</v>
      </c>
      <c r="E117" s="17"/>
      <c r="F117" s="17"/>
      <c r="G117" s="16"/>
      <c r="H117" s="17"/>
      <c r="I117" s="17" t="s">
        <v>159</v>
      </c>
      <c r="J117" s="17"/>
      <c r="K117" s="17"/>
    </row>
    <row r="118" spans="1:11" ht="14.25" customHeight="1" x14ac:dyDescent="0.3">
      <c r="A118" s="14" t="s">
        <v>160</v>
      </c>
      <c r="B118" s="15"/>
      <c r="C118" s="14" t="s">
        <v>161</v>
      </c>
      <c r="D118" s="13" t="s">
        <v>162</v>
      </c>
      <c r="E118" s="13"/>
      <c r="F118" s="13"/>
      <c r="G118" s="14"/>
      <c r="H118" s="13"/>
      <c r="I118" s="13" t="s">
        <v>163</v>
      </c>
      <c r="J118" s="13"/>
      <c r="K118" s="13"/>
    </row>
    <row r="119" spans="1:11" ht="14.25" customHeight="1" x14ac:dyDescent="0.25"/>
    <row r="120" spans="1:11" ht="14.25" customHeight="1" x14ac:dyDescent="0.25"/>
    <row r="121" spans="1:11" ht="14.25" customHeight="1" x14ac:dyDescent="0.25"/>
    <row r="122" spans="1:11" ht="14.25" customHeight="1" x14ac:dyDescent="0.25"/>
    <row r="123" spans="1:11" ht="14.25" customHeight="1" x14ac:dyDescent="0.25"/>
    <row r="124" spans="1:11" ht="14.25" customHeight="1" x14ac:dyDescent="0.25"/>
    <row r="125" spans="1:11" ht="14.25" customHeight="1" x14ac:dyDescent="0.25"/>
    <row r="126" spans="1:11" ht="14.25" customHeight="1" x14ac:dyDescent="0.25"/>
    <row r="127" spans="1:11" ht="14.25" customHeight="1" x14ac:dyDescent="0.25"/>
    <row r="128" spans="1:11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</sheetData>
  <mergeCells count="33">
    <mergeCell ref="A4:K4"/>
    <mergeCell ref="A106:A111"/>
    <mergeCell ref="B13:B15"/>
    <mergeCell ref="A34:A39"/>
    <mergeCell ref="A28:A33"/>
    <mergeCell ref="A9:K9"/>
    <mergeCell ref="A100:A105"/>
    <mergeCell ref="F13:G13"/>
    <mergeCell ref="A76:A81"/>
    <mergeCell ref="A5:K5"/>
    <mergeCell ref="A22:A27"/>
    <mergeCell ref="A82:A87"/>
    <mergeCell ref="H13:H15"/>
    <mergeCell ref="A1:K1"/>
    <mergeCell ref="A94:A99"/>
    <mergeCell ref="A13:A15"/>
    <mergeCell ref="A6:K6"/>
    <mergeCell ref="C13:C15"/>
    <mergeCell ref="A88:A93"/>
    <mergeCell ref="A70:A75"/>
    <mergeCell ref="D13:E13"/>
    <mergeCell ref="A7:K7"/>
    <mergeCell ref="A16:A21"/>
    <mergeCell ref="A12:K12"/>
    <mergeCell ref="A3:K3"/>
    <mergeCell ref="A46:A51"/>
    <mergeCell ref="A2:K2"/>
    <mergeCell ref="A58:A63"/>
    <mergeCell ref="A52:A57"/>
    <mergeCell ref="A40:A45"/>
    <mergeCell ref="A64:A69"/>
    <mergeCell ref="A11:K11"/>
    <mergeCell ref="K13:K15"/>
  </mergeCells>
  <pageMargins left="0.5" right="0.25" top="0.29563599667739882" bottom="0" header="0" footer="0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LOADING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Accre</dc:creator>
  <cp:lastModifiedBy>Jaedon</cp:lastModifiedBy>
  <dcterms:created xsi:type="dcterms:W3CDTF">2016-07-27T00:55:00Z</dcterms:created>
  <dcterms:modified xsi:type="dcterms:W3CDTF">2026-03-07T14:07:31Z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8CD0898E9FDE4FF9A413EBE5472A03EF_12</vt:lpwstr>
  </property>
  <property fmtid="{D5CDD505-2E9C-101B-9397-08002B2CF9AE}" pid="3" name="KSOProductBuildVer">
    <vt:lpwstr>1033-12.2.0.13412</vt:lpwstr>
  </property>
</Properties>
</file>